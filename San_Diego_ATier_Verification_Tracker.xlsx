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Verify" sheetId="2" state="visible" r:id="rId2"/>
    <sheet name="Tally" sheetId="3" state="visible" r:id="rId3"/>
  </sheets>
  <definedNames>
    <definedName name="_xlnm._FilterDatabase" localSheetId="1" hidden="1">'Verify'!$A$1:$T$29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12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sz val="10"/>
    </font>
    <font>
      <b val="1"/>
      <color rgb="001F3864"/>
      <sz val="11"/>
    </font>
    <font>
      <b val="1"/>
      <color rgb="00FFFFFF"/>
      <sz val="10"/>
    </font>
    <font>
      <sz val="9"/>
    </font>
    <font>
      <b val="1"/>
      <sz val="10"/>
    </font>
    <font>
      <b val="1"/>
      <color rgb="001F3864"/>
      <sz val="10"/>
    </font>
    <font>
      <b val="1"/>
      <color rgb="00006100"/>
      <sz val="10"/>
    </font>
    <font>
      <b val="1"/>
      <sz val="9"/>
    </font>
    <font>
      <b val="1"/>
      <color rgb="0080808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6" fillId="0" borderId="1" pivotButton="0" quotePrefix="0" xfId="0"/>
    <xf numFmtId="0" fontId="6" fillId="3" borderId="1" pivotButton="0" quotePrefix="0" xfId="0"/>
    <xf numFmtId="164" fontId="6" fillId="3" borderId="1" pivotButton="0" quotePrefix="0" xfId="0"/>
    <xf numFmtId="0" fontId="7" fillId="0" borderId="1" pivotButton="0" quotePrefix="0" xfId="0"/>
    <xf numFmtId="165" fontId="6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0" pivotButton="0" quotePrefix="0" xfId="0"/>
    <xf numFmtId="9" fontId="7" fillId="0" borderId="0" pivotButton="0" quotePrefix="0" xfId="0"/>
    <xf numFmtId="165" fontId="7" fillId="0" borderId="0" pivotButton="0" quotePrefix="0" xfId="0"/>
    <xf numFmtId="0" fontId="8" fillId="0" borderId="0" pivotButton="0" quotePrefix="0" xfId="0"/>
    <xf numFmtId="9" fontId="3" fillId="0" borderId="0" pivotButton="0" quotePrefix="0" xfId="0"/>
    <xf numFmtId="164" fontId="6" fillId="3" borderId="1" pivotButton="0" quotePrefix="0" xfId="0"/>
    <xf numFmtId="0" fontId="0" fillId="3" borderId="0" pivotButton="0" quotePrefix="0" xfId="0"/>
    <xf numFmtId="165" fontId="6" fillId="0" borderId="1" pivotButton="0" quotePrefix="0" xfId="0"/>
    <xf numFmtId="0" fontId="9" fillId="4" borderId="1" pivotButton="0" quotePrefix="0" xfId="0"/>
    <xf numFmtId="164" fontId="6" fillId="4" borderId="1" pivotButton="0" quotePrefix="0" xfId="0"/>
    <xf numFmtId="0" fontId="6" fillId="4" borderId="1" pivotButton="0" quotePrefix="0" xfId="0"/>
    <xf numFmtId="0" fontId="6" fillId="4" borderId="0" pivotButton="0" quotePrefix="0" xfId="0"/>
    <xf numFmtId="0" fontId="6" fillId="4" borderId="1" applyAlignment="1" pivotButton="0" quotePrefix="0" xfId="0">
      <alignment vertical="top" wrapText="1"/>
    </xf>
    <xf numFmtId="0" fontId="10" fillId="5" borderId="0" pivotButton="0" quotePrefix="0" xfId="0"/>
    <xf numFmtId="0" fontId="11" fillId="6" borderId="1" pivotButton="0" quotePrefix="0" xfId="0"/>
    <xf numFmtId="164" fontId="6" fillId="6" borderId="1" pivotButton="0" quotePrefix="0" xfId="0"/>
    <xf numFmtId="0" fontId="6" fillId="6" borderId="1" pivotButton="0" quotePrefix="0" xfId="0"/>
    <xf numFmtId="0" fontId="6" fillId="6" borderId="0" pivotButton="0" quotePrefix="0" xfId="0"/>
    <xf numFmtId="0" fontId="6" fillId="6" borderId="1" applyAlignment="1" pivotButton="0" quotePrefix="0" xfId="0">
      <alignment vertical="top" wrapText="1"/>
    </xf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A-Tier Verification Tracker</t>
        </is>
      </c>
    </row>
    <row r="2">
      <c r="A2" s="2" t="inlineStr">
        <is>
          <t>The top 28 San Diego probate targets, ready to check against the court docket.</t>
        </is>
      </c>
    </row>
    <row r="3">
      <c r="A3" s="3" t="inlineStr"/>
    </row>
    <row r="4">
      <c r="A4" s="4" t="inlineStr">
        <is>
          <t>The workflow</t>
        </is>
      </c>
    </row>
    <row r="5">
      <c r="A5" s="3" t="inlineStr">
        <is>
          <t>1.  Open  https://odyroa.sdcourt.ca.gov/  in your normal browser and accept the disclaimer.</t>
        </is>
      </c>
    </row>
    <row r="6">
      <c r="A6" s="3" t="inlineStr">
        <is>
          <t>2.  Search by case number. Copy it from column A - they are already in the court's format.</t>
        </is>
      </c>
    </row>
    <row r="7">
      <c r="A7" s="3" t="inlineStr">
        <is>
          <t>3.  Open the Register of Actions and look at the most recent entries.</t>
        </is>
      </c>
    </row>
    <row r="8">
      <c r="A8" s="3" t="inlineStr">
        <is>
          <t>4.  Fill in the yellow columns. They have dropdowns where it helps.</t>
        </is>
      </c>
    </row>
    <row r="9">
      <c r="A9" s="3" t="inlineStr"/>
    </row>
    <row r="10">
      <c r="A10" s="4" t="inlineStr">
        <is>
          <t>How to read what you find</t>
        </is>
      </c>
    </row>
    <row r="11">
      <c r="A11" s="3" t="inlineStr">
        <is>
          <t>OPEN         no final discharge, and recent filings or a future hearing on the calendar</t>
        </is>
      </c>
    </row>
    <row r="12">
      <c r="A12" s="3" t="inlineStr">
        <is>
          <t>CLOSED       you see an Order for Final Distribution followed by a Final Discharge</t>
        </is>
      </c>
    </row>
    <row r="13">
      <c r="A13" s="3" t="inlineStr">
        <is>
          <t>DORMANT      no final discharge, but nothing has been filed in over a year - the best kind of lead</t>
        </is>
      </c>
    </row>
    <row r="14">
      <c r="A14" s="3" t="inlineStr">
        <is>
          <t>NOT FOUND    case number returns nothing; note it, the source data may have a typo</t>
        </is>
      </c>
    </row>
    <row r="15">
      <c r="A15" s="3" t="inlineStr"/>
    </row>
    <row r="16">
      <c r="A16" s="4" t="inlineStr">
        <is>
          <t>What to look for in the docket</t>
        </is>
      </c>
    </row>
    <row r="17">
      <c r="A17" s="3" t="inlineStr">
        <is>
          <t>Final discharge         the estate is finished, stop here</t>
        </is>
      </c>
    </row>
    <row r="18">
      <c r="A18" s="3" t="inlineStr">
        <is>
          <t>Final distribution      nearly finished, discharge usually follows</t>
        </is>
      </c>
    </row>
    <row r="19">
      <c r="A19" s="3" t="inlineStr">
        <is>
          <t>Order confirming sale   the property already sold, too late</t>
        </is>
      </c>
    </row>
    <row r="20">
      <c r="A20" s="3" t="inlineStr">
        <is>
          <t>Status conference set   the court is chasing them - they are behind and know it</t>
        </is>
      </c>
    </row>
    <row r="21">
      <c r="A21" s="3" t="inlineStr">
        <is>
          <t>Nothing for 12+ months  genuinely stalled, the strongest signal in this whole list</t>
        </is>
      </c>
    </row>
    <row r="22">
      <c r="A22" s="3" t="inlineStr"/>
    </row>
    <row r="23">
      <c r="A23" s="4" t="inlineStr">
        <is>
          <t>Pace yourself</t>
        </is>
      </c>
    </row>
    <row r="24">
      <c r="A24" s="3" t="inlineStr">
        <is>
          <t>The court rate-limits heavy use. Work at a normal reading pace and you will be fine;</t>
        </is>
      </c>
    </row>
    <row r="25">
      <c r="A25" s="3" t="inlineStr">
        <is>
          <t>hammering it with rapid lookups can get your address temporarily blocked, which is exactly</t>
        </is>
      </c>
    </row>
    <row r="26">
      <c r="A26" s="3" t="inlineStr">
        <is>
          <t>what happened to the server that built this file.</t>
        </is>
      </c>
    </row>
    <row r="27">
      <c r="A27" s="3" t="inlineStr"/>
    </row>
    <row r="28">
      <c r="A28" s="4" t="inlineStr">
        <is>
          <t>When you are done</t>
        </is>
      </c>
    </row>
    <row r="29">
      <c r="A29" s="3" t="inlineStr">
        <is>
          <t>Send this back and I will fold the results into the scoring, work out what share of all 423</t>
        </is>
      </c>
    </row>
    <row r="30">
      <c r="A30" s="3" t="inlineStr">
        <is>
          <t>cases are likely still open, and tell you whether the missing-months backfill is worth chasing.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40" customWidth="1" min="4" max="4"/>
    <col width="13" customWidth="1" min="5" max="5"/>
    <col width="15" customWidth="1" min="6" max="6"/>
    <col width="26" customWidth="1" min="7" max="7"/>
    <col width="62" customWidth="1" min="8" max="8"/>
    <col width="12" customWidth="1" min="9" max="9"/>
    <col width="24" customWidth="1" min="10" max="10"/>
    <col width="26" customWidth="1" min="11" max="11"/>
    <col width="13" customWidth="1" min="12" max="12"/>
    <col width="14" customWidth="1" min="13" max="13"/>
    <col width="10" customWidth="1" min="14" max="14"/>
    <col width="22" customWidth="1" min="15" max="15"/>
    <col width="16" customWidth="1" min="16" max="16"/>
    <col width="20" customWidth="1" min="17" max="17"/>
    <col width="15" customWidth="1" min="18" max="18"/>
    <col width="44" customWidth="1" min="19" max="19"/>
  </cols>
  <sheetData>
    <row r="1" ht="30" customHeight="1">
      <c r="A1" s="5" t="inlineStr">
        <is>
          <t>Case No</t>
        </is>
      </c>
      <c r="B1" s="5" t="inlineStr">
        <is>
          <t>Status</t>
        </is>
      </c>
      <c r="C1" s="5" t="inlineStr">
        <is>
          <t>Last Activity Date</t>
        </is>
      </c>
      <c r="D1" s="5" t="inlineStr">
        <is>
          <t>Last Docket Entry</t>
        </is>
      </c>
      <c r="E1" s="5" t="inlineStr">
        <is>
          <t>Next Hearing</t>
        </is>
      </c>
      <c r="F1" s="5" t="inlineStr">
        <is>
          <t>Final Discharge?</t>
        </is>
      </c>
      <c r="G1" s="5" t="inlineStr">
        <is>
          <t>Court Flagged Delinquent</t>
        </is>
      </c>
      <c r="H1" s="5" t="inlineStr">
        <is>
          <t>Notes</t>
        </is>
      </c>
      <c r="I1" s="5" t="inlineStr">
        <is>
          <t>Score</t>
        </is>
      </c>
      <c r="J1" s="5" t="inlineStr">
        <is>
          <t>Equity</t>
        </is>
      </c>
      <c r="K1" s="5" t="inlineStr">
        <is>
          <t>Decedent</t>
        </is>
      </c>
      <c r="L1" s="5" t="inlineStr">
        <is>
          <t>Property Address</t>
        </is>
      </c>
      <c r="M1" s="5" t="inlineStr">
        <is>
          <t>City</t>
        </is>
      </c>
      <c r="N1" s="5" t="inlineStr">
        <is>
          <t>Property Status</t>
        </is>
      </c>
      <c r="O1" s="5" t="inlineStr">
        <is>
          <t>Authority</t>
        </is>
      </c>
      <c r="P1" s="5" t="inlineStr">
        <is>
          <t>Petitioner</t>
        </is>
      </c>
      <c r="Q1" s="5" t="inlineStr">
        <is>
          <t>Pet. City/ST</t>
        </is>
      </c>
      <c r="R1" s="5" t="inlineStr">
        <is>
          <t>Attorney</t>
        </is>
      </c>
      <c r="S1" s="5" t="inlineStr">
        <is>
          <t>Attorney Phone</t>
        </is>
      </c>
      <c r="T1" s="5" t="inlineStr">
        <is>
          <t>Why It Scores</t>
        </is>
      </c>
    </row>
    <row r="2">
      <c r="A2" s="6" t="inlineStr">
        <is>
          <t>24PE001139C</t>
        </is>
      </c>
      <c r="B2" s="7" t="n"/>
      <c r="C2" s="17" t="n"/>
      <c r="D2" s="7" t="n"/>
      <c r="E2" s="17" t="n"/>
      <c r="F2" s="7" t="n"/>
      <c r="G2" s="18" t="n"/>
      <c r="H2" s="7" t="n"/>
      <c r="I2" s="9" t="n">
        <v>73</v>
      </c>
      <c r="J2" s="19" t="n">
        <v>1094112</v>
      </c>
      <c r="K2" s="6" t="inlineStr">
        <is>
          <t>Donna Lee Bura</t>
        </is>
      </c>
      <c r="L2" s="6" t="inlineStr">
        <is>
          <t>8838 Hunter Pass</t>
        </is>
      </c>
      <c r="M2" s="6" t="inlineStr">
        <is>
          <t>Alpine</t>
        </is>
      </c>
      <c r="N2" s="6" t="inlineStr">
        <is>
          <t>ABSENTEE</t>
        </is>
      </c>
      <c r="O2" s="6" t="inlineStr">
        <is>
          <t>Limited</t>
        </is>
      </c>
      <c r="P2" s="6" t="inlineStr">
        <is>
          <t>Christopher J. Bura</t>
        </is>
      </c>
      <c r="Q2" s="6" t="inlineStr">
        <is>
          <t>Springhill TN</t>
        </is>
      </c>
      <c r="R2" s="6" t="inlineStr">
        <is>
          <t>Julie K. Hardisty</t>
        </is>
      </c>
      <c r="S2" s="6" t="inlineStr">
        <is>
          <t>925-689-9940</t>
        </is>
      </c>
      <c r="T2" s="11" t="inlineStr">
        <is>
          <t>26mo old; $1M+ equity; vacant/absentee; limited authority (court confirmation); out-of-county heir</t>
        </is>
      </c>
    </row>
    <row r="3">
      <c r="A3" s="6" t="inlineStr">
        <is>
          <t>24PE000313C</t>
        </is>
      </c>
      <c r="B3" s="7" t="n"/>
      <c r="C3" s="17" t="n"/>
      <c r="D3" s="7" t="n"/>
      <c r="E3" s="17" t="n"/>
      <c r="F3" s="7" t="n"/>
      <c r="G3" s="18" t="n"/>
      <c r="H3" s="7" t="n"/>
      <c r="I3" s="9" t="n">
        <v>66</v>
      </c>
      <c r="J3" s="19" t="n">
        <v>2525000</v>
      </c>
      <c r="K3" s="6" t="inlineStr">
        <is>
          <t>Minhas Ladiwalla</t>
        </is>
      </c>
      <c r="L3" s="6" t="inlineStr">
        <is>
          <t>3550 Labounty Drive</t>
        </is>
      </c>
      <c r="M3" s="6" t="inlineStr">
        <is>
          <t>Oceanside</t>
        </is>
      </c>
      <c r="N3" s="6" t="inlineStr">
        <is>
          <t>ABSENTEE</t>
        </is>
      </c>
      <c r="O3" s="6" t="inlineStr">
        <is>
          <t>N/A</t>
        </is>
      </c>
      <c r="P3" s="6" t="inlineStr">
        <is>
          <t>Zeenat Ladiwalla</t>
        </is>
      </c>
      <c r="Q3" s="6" t="inlineStr">
        <is>
          <t>Allen CA</t>
        </is>
      </c>
      <c r="R3" s="6" t="inlineStr">
        <is>
          <t>M. Neil Solarz</t>
        </is>
      </c>
      <c r="S3" s="6" t="inlineStr">
        <is>
          <t>(310) 553-8844 (*National DNC list)</t>
        </is>
      </c>
      <c r="T3" s="11" t="inlineStr">
        <is>
          <t>29mo old; $1M+ equity; vacant/absentee; out-of-county heir</t>
        </is>
      </c>
    </row>
    <row r="4">
      <c r="A4" s="6" t="inlineStr">
        <is>
          <t>24PE001223C</t>
        </is>
      </c>
      <c r="B4" s="7" t="n"/>
      <c r="C4" s="17" t="n"/>
      <c r="D4" s="7" t="n"/>
      <c r="E4" s="17" t="n"/>
      <c r="F4" s="7" t="n"/>
      <c r="G4" s="18" t="n"/>
      <c r="H4" s="7" t="n"/>
      <c r="I4" s="9" t="n">
        <v>61</v>
      </c>
      <c r="J4" s="19" t="n">
        <v>2090678</v>
      </c>
      <c r="K4" s="6" t="inlineStr">
        <is>
          <t>Anna Luise Manicke-Schulmann aka Anna L. Manicke aka Anna L. Schulmann</t>
        </is>
      </c>
      <c r="L4" s="6" t="inlineStr">
        <is>
          <t>2019 Cordero Road</t>
        </is>
      </c>
      <c r="M4" s="6" t="inlineStr">
        <is>
          <t>Del Mar</t>
        </is>
      </c>
      <c r="N4" s="6" t="inlineStr">
        <is>
          <t>ABSENTEE</t>
        </is>
      </c>
      <c r="O4" s="6" t="inlineStr">
        <is>
          <t>Full</t>
        </is>
      </c>
      <c r="P4" s="6" t="inlineStr">
        <is>
          <t>Tatiana Tonekaboni</t>
        </is>
      </c>
      <c r="Q4" s="6" t="inlineStr">
        <is>
          <t>Hendersonville TN</t>
        </is>
      </c>
      <c r="R4" s="6" t="inlineStr">
        <is>
          <t>Steven F. Bliss</t>
        </is>
      </c>
      <c r="S4" s="6" t="inlineStr">
        <is>
          <t>(951) 223-7000</t>
        </is>
      </c>
      <c r="T4" s="11" t="inlineStr">
        <is>
          <t>26mo old; $1M+ equity; vacant/absentee; out-of-county heir</t>
        </is>
      </c>
    </row>
    <row r="5">
      <c r="A5" s="6" t="inlineStr">
        <is>
          <t>24PE001330C</t>
        </is>
      </c>
      <c r="B5" s="20" t="inlineStr">
        <is>
          <t>OPEN</t>
        </is>
      </c>
      <c r="C5" s="21" t="n">
        <v>46121</v>
      </c>
      <c r="D5" s="22" t="inlineStr">
        <is>
          <t>Accounting hearing - Amended Report and First and Final Account (ROA 28)</t>
        </is>
      </c>
      <c r="E5" s="21" t="n">
        <v>46259</v>
      </c>
      <c r="F5" s="22" t="inlineStr">
        <is>
          <t>No</t>
        </is>
      </c>
      <c r="G5" s="23" t="inlineStr">
        <is>
          <t>No</t>
        </is>
      </c>
      <c r="H5" s="24" t="inlineStr">
        <is>
          <t>Moving toward final distribution, hearing 8/25/2026. Co-administrators Jane Hudson and Marion Richards with shared counsel; four additional interested parties, so consent may be slow.</t>
        </is>
      </c>
      <c r="I5" s="9" t="n">
        <v>60</v>
      </c>
      <c r="J5" s="19" t="n">
        <v>2173003</v>
      </c>
      <c r="K5" s="6" t="inlineStr">
        <is>
          <t>Samuel Robert Thomas Richards</t>
        </is>
      </c>
      <c r="L5" s="6" t="inlineStr">
        <is>
          <t>1127 Reed Ave. Apt. 6</t>
        </is>
      </c>
      <c r="M5" s="6" t="inlineStr">
        <is>
          <t>San Diego</t>
        </is>
      </c>
      <c r="N5" s="6" t="inlineStr">
        <is>
          <t>ABSENTEE</t>
        </is>
      </c>
      <c r="O5" s="6" t="inlineStr">
        <is>
          <t>Full</t>
        </is>
      </c>
      <c r="P5" s="6" t="inlineStr">
        <is>
          <t>Jane R. Hudson and Marion K. Richards</t>
        </is>
      </c>
      <c r="Q5" s="6" t="inlineStr">
        <is>
          <t>Warrenton NC</t>
        </is>
      </c>
      <c r="R5" s="6" t="inlineStr">
        <is>
          <t>Maya M. Pinchman</t>
        </is>
      </c>
      <c r="S5" s="6" t="inlineStr">
        <is>
          <t>800-836-1124 (*National DNC list)</t>
        </is>
      </c>
      <c r="T5" s="11" t="inlineStr">
        <is>
          <t>26mo old; $1M+ equity; vacant/absentee; out-of-county heir</t>
        </is>
      </c>
    </row>
    <row r="6">
      <c r="A6" s="6" t="inlineStr">
        <is>
          <t>24PE001244C</t>
        </is>
      </c>
      <c r="B6" s="7" t="n"/>
      <c r="C6" s="17" t="n"/>
      <c r="D6" s="7" t="n"/>
      <c r="E6" s="17" t="n"/>
      <c r="F6" s="7" t="n"/>
      <c r="G6" s="18" t="n"/>
      <c r="H6" s="7" t="n"/>
      <c r="I6" s="9" t="n">
        <v>60</v>
      </c>
      <c r="J6" s="19" t="n">
        <v>2084303</v>
      </c>
      <c r="K6" s="6" t="inlineStr">
        <is>
          <t>Ila K. Margagliano (aka Ila Kathleen Margagliano)</t>
        </is>
      </c>
      <c r="L6" s="6" t="inlineStr">
        <is>
          <t>5219 Clairemont Mesa Blvd.</t>
        </is>
      </c>
      <c r="M6" s="6" t="inlineStr">
        <is>
          <t>San Diego</t>
        </is>
      </c>
      <c r="N6" s="6" t="inlineStr">
        <is>
          <t>ABSENTEE</t>
        </is>
      </c>
      <c r="O6" s="6" t="inlineStr">
        <is>
          <t>Full</t>
        </is>
      </c>
      <c r="P6" s="6" t="inlineStr">
        <is>
          <t>Joni Jugler</t>
        </is>
      </c>
      <c r="Q6" s="6" t="inlineStr">
        <is>
          <t>Colorado Springs CO</t>
        </is>
      </c>
      <c r="R6" s="6" t="inlineStr">
        <is>
          <t>Erin C. Foley</t>
        </is>
      </c>
      <c r="S6" s="6" t="inlineStr">
        <is>
          <t>619-284-2444</t>
        </is>
      </c>
      <c r="T6" s="11" t="inlineStr">
        <is>
          <t>26mo old; $1M+ equity; vacant/absentee; out-of-county heir</t>
        </is>
      </c>
    </row>
    <row r="7">
      <c r="A7" s="6" t="inlineStr">
        <is>
          <t>24PE001359C</t>
        </is>
      </c>
      <c r="B7" s="7" t="n"/>
      <c r="C7" s="17" t="n"/>
      <c r="D7" s="7" t="n"/>
      <c r="E7" s="17" t="n"/>
      <c r="F7" s="7" t="n"/>
      <c r="G7" s="18" t="n"/>
      <c r="H7" s="7" t="n"/>
      <c r="I7" s="9" t="n">
        <v>60</v>
      </c>
      <c r="J7" s="19" t="n">
        <v>468800</v>
      </c>
      <c r="K7" s="6" t="inlineStr">
        <is>
          <t>JESSE JAE SOO PARK</t>
        </is>
      </c>
      <c r="L7" s="6" t="inlineStr">
        <is>
          <t>2540 Clairemont Drive Unit 108</t>
        </is>
      </c>
      <c r="M7" s="6" t="inlineStr">
        <is>
          <t>San Diego</t>
        </is>
      </c>
      <c r="N7" s="6" t="inlineStr">
        <is>
          <t>ABSENTEE</t>
        </is>
      </c>
      <c r="O7" s="6" t="inlineStr">
        <is>
          <t>Full</t>
        </is>
      </c>
      <c r="P7" s="6" t="inlineStr">
        <is>
          <t>Jennifer P. Fasano</t>
        </is>
      </c>
      <c r="Q7" s="6" t="inlineStr">
        <is>
          <t>Las Vegas NV</t>
        </is>
      </c>
      <c r="R7" s="6" t="inlineStr">
        <is>
          <t>Pro Per</t>
        </is>
      </c>
      <c r="S7" s="6" t="inlineStr">
        <is>
          <t>702-499-9378 (*National DNC list)</t>
        </is>
      </c>
      <c r="T7" s="11" t="inlineStr">
        <is>
          <t>26mo old; $350k+ equity; vacant/absentee; self-represented; out-of-county heir</t>
        </is>
      </c>
    </row>
    <row r="8">
      <c r="A8" s="6" t="inlineStr">
        <is>
          <t>24PE001624C</t>
        </is>
      </c>
      <c r="B8" s="20" t="inlineStr">
        <is>
          <t>OPEN</t>
        </is>
      </c>
      <c r="C8" s="21" t="n">
        <v>46219</v>
      </c>
      <c r="D8" s="22" t="inlineStr">
        <is>
          <t>Notice of Hearing (ROA 27)</t>
        </is>
      </c>
      <c r="E8" s="21" t="n">
        <v>46461</v>
      </c>
      <c r="F8" s="22" t="inlineStr">
        <is>
          <t>No</t>
        </is>
      </c>
      <c r="G8" s="25" t="inlineStr">
        <is>
          <t>YES - 2 notices (3/14/25, 5/29/26)</t>
        </is>
      </c>
      <c r="H8" s="24" t="inlineStr">
        <is>
          <t>Court issued two Notices of Failure to Perform Duties. Letters expired 4/30/2026 and were not renewed. Next review not until Mar 2027. Executor represented by an Arizona attorney.</t>
        </is>
      </c>
      <c r="I8" s="9" t="n">
        <v>59</v>
      </c>
      <c r="J8" s="19" t="n">
        <v>1552181</v>
      </c>
      <c r="K8" s="6" t="inlineStr">
        <is>
          <t>DORA V. ROSCHEFSKI</t>
        </is>
      </c>
      <c r="L8" s="6" t="inlineStr">
        <is>
          <t>3850 Valley Vista Rd.</t>
        </is>
      </c>
      <c r="M8" s="6" t="inlineStr">
        <is>
          <t>Bonita</t>
        </is>
      </c>
      <c r="N8" s="6" t="inlineStr">
        <is>
          <t>ABSENTEE</t>
        </is>
      </c>
      <c r="O8" s="6" t="inlineStr">
        <is>
          <t>Full</t>
        </is>
      </c>
      <c r="P8" s="6" t="inlineStr">
        <is>
          <t>James Paul Roschefski</t>
        </is>
      </c>
      <c r="Q8" s="6" t="inlineStr">
        <is>
          <t>Waterford MI</t>
        </is>
      </c>
      <c r="R8" s="6" t="inlineStr">
        <is>
          <t>Donald F. Coats, Jr.</t>
        </is>
      </c>
      <c r="S8" s="6" t="inlineStr">
        <is>
          <t>(619) 838-3259 (*National DNC list)</t>
        </is>
      </c>
      <c r="T8" s="11" t="inlineStr">
        <is>
          <t>25mo old; $1M+ equity; vacant/absentee; out-of-county heir</t>
        </is>
      </c>
    </row>
    <row r="9">
      <c r="A9" s="6" t="inlineStr">
        <is>
          <t>24PE000377C</t>
        </is>
      </c>
      <c r="B9" s="20" t="inlineStr">
        <is>
          <t>OPEN</t>
        </is>
      </c>
      <c r="C9" s="21" t="n">
        <v>46101</v>
      </c>
      <c r="D9" s="22" t="inlineStr">
        <is>
          <t>Letters Extended/Reissued to 8/11/2026 (ROA 120)</t>
        </is>
      </c>
      <c r="E9" s="21" t="n">
        <v>46245</v>
      </c>
      <c r="F9" s="22" t="inlineStr">
        <is>
          <t>No</t>
        </is>
      </c>
      <c r="G9" s="25" t="inlineStr">
        <is>
          <t>YES - OSC re sanctions</t>
        </is>
      </c>
      <c r="H9" s="24" t="inlineStr">
        <is>
          <t>STRONGEST DISTRESS SIGNAL. OSC issued 3/19/2026 over the administrator distributing estate assets without court authorization, proposing $1,500 sanctions and revocation of Letters. Administrator is self-represented. Public Administrator is an interested party. 120 docket entries.</t>
        </is>
      </c>
      <c r="I9" s="9" t="n">
        <v>58</v>
      </c>
      <c r="J9" s="19" t="n">
        <v>203776</v>
      </c>
      <c r="K9" s="6" t="inlineStr">
        <is>
          <t>Jeanne D. Willis</t>
        </is>
      </c>
      <c r="L9" s="6" t="inlineStr">
        <is>
          <t>2825 3rd Ave. #208</t>
        </is>
      </c>
      <c r="M9" s="6" t="inlineStr">
        <is>
          <t>San Diego</t>
        </is>
      </c>
      <c r="N9" s="6" t="inlineStr">
        <is>
          <t>ABSENTEE</t>
        </is>
      </c>
      <c r="O9" s="6" t="inlineStr">
        <is>
          <t>Full</t>
        </is>
      </c>
      <c r="P9" s="6" t="inlineStr">
        <is>
          <t>Paul Ellington Willis</t>
        </is>
      </c>
      <c r="Q9" s="6" t="inlineStr">
        <is>
          <t>Lodi CA</t>
        </is>
      </c>
      <c r="R9" s="6" t="inlineStr">
        <is>
          <t>Pro Per</t>
        </is>
      </c>
      <c r="S9" s="6" t="inlineStr">
        <is>
          <t>(760) 201-5641 (*National DNC list)</t>
        </is>
      </c>
      <c r="T9" s="11" t="inlineStr">
        <is>
          <t>28mo old; $150k+ equity; vacant/absentee; self-represented; out-of-county heir</t>
        </is>
      </c>
    </row>
    <row r="10">
      <c r="A10" s="6" t="inlineStr">
        <is>
          <t>24PE001705C</t>
        </is>
      </c>
      <c r="B10" s="20" t="inlineStr">
        <is>
          <t>OPEN</t>
        </is>
      </c>
      <c r="C10" s="21" t="n">
        <v>46169</v>
      </c>
      <c r="D10" s="22" t="inlineStr">
        <is>
          <t>Notice of Hearing (ROA 54)</t>
        </is>
      </c>
      <c r="E10" s="21" t="n">
        <v>46231</v>
      </c>
      <c r="F10" s="22" t="inlineStr">
        <is>
          <t>No</t>
        </is>
      </c>
      <c r="G10" s="25" t="inlineStr">
        <is>
          <t>YES - 2 notices (1/27/25, 4/14/26)</t>
        </is>
      </c>
      <c r="H10" s="24" t="inlineStr">
        <is>
          <t>CONTESTED. Competing petitions between Charlene Brown and Terri Gascon, plus a civil complaint alleging breach of contract, promissory estoppel, fraud and unjust enrichment. Inventory and Appraisal filed as Final $0.00. Letters expired 3/25/2026. Two law firms involved - a difficult approach.</t>
        </is>
      </c>
      <c r="I10" s="9" t="n">
        <v>55</v>
      </c>
      <c r="J10" s="19" t="n">
        <v>3162994</v>
      </c>
      <c r="K10" s="6" t="inlineStr">
        <is>
          <t>Charles Terry Brown</t>
        </is>
      </c>
      <c r="L10" s="6" t="inlineStr">
        <is>
          <t>5724 Dolphin PI.</t>
        </is>
      </c>
      <c r="M10" s="6" t="inlineStr">
        <is>
          <t>La Jolla</t>
        </is>
      </c>
      <c r="N10" s="6" t="inlineStr">
        <is>
          <t>OWNER OCCUPIED</t>
        </is>
      </c>
      <c r="O10" s="6" t="inlineStr">
        <is>
          <t>Limited</t>
        </is>
      </c>
      <c r="P10" s="6" t="inlineStr">
        <is>
          <t>Terri Lynn Gascon</t>
        </is>
      </c>
      <c r="Q10" s="6" t="inlineStr">
        <is>
          <t>Bend OR</t>
        </is>
      </c>
      <c r="R10" s="6" t="inlineStr">
        <is>
          <t>Casey A. Reagan</t>
        </is>
      </c>
      <c r="S10" s="6" t="inlineStr">
        <is>
          <t>310-444-9060 (*National DNC list)</t>
        </is>
      </c>
      <c r="T10" s="11" t="inlineStr">
        <is>
          <t>25mo old; $1M+ equity; limited authority (court confirmation); out-of-county heir</t>
        </is>
      </c>
    </row>
    <row r="11">
      <c r="A11" s="6" t="inlineStr">
        <is>
          <t>24PE001404C</t>
        </is>
      </c>
      <c r="B11" s="7" t="n"/>
      <c r="C11" s="17" t="n"/>
      <c r="D11" s="7" t="n"/>
      <c r="E11" s="17" t="n"/>
      <c r="F11" s="7" t="n"/>
      <c r="G11" s="18" t="n"/>
      <c r="H11" s="7" t="n"/>
      <c r="I11" s="9" t="n">
        <v>54</v>
      </c>
      <c r="J11" s="19" t="n">
        <v>1178273</v>
      </c>
      <c r="K11" s="6" t="inlineStr">
        <is>
          <t>Jimmie Ray Haymon</t>
        </is>
      </c>
      <c r="L11" s="6" t="inlineStr">
        <is>
          <t>8530 Nelson Way</t>
        </is>
      </c>
      <c r="M11" s="6" t="inlineStr">
        <is>
          <t>Escondido</t>
        </is>
      </c>
      <c r="N11" s="6" t="inlineStr">
        <is>
          <t>ABSENTEE</t>
        </is>
      </c>
      <c r="O11" s="6" t="inlineStr">
        <is>
          <t>Full</t>
        </is>
      </c>
      <c r="P11" s="6" t="inlineStr">
        <is>
          <t>Dorothy Cavallo</t>
        </is>
      </c>
      <c r="Q11" s="6" t="inlineStr">
        <is>
          <t>San Marcos CA</t>
        </is>
      </c>
      <c r="R11" s="6" t="inlineStr">
        <is>
          <t>Alan Mansfield</t>
        </is>
      </c>
      <c r="S11" s="6" t="n"/>
      <c r="T11" s="11" t="inlineStr">
        <is>
          <t>25mo old; $1M+ equity; vacant/absentee; heir not at property</t>
        </is>
      </c>
    </row>
    <row r="12">
      <c r="A12" s="6" t="inlineStr">
        <is>
          <t>24PE000304C</t>
        </is>
      </c>
      <c r="B12" s="7" t="n"/>
      <c r="C12" s="17" t="n"/>
      <c r="D12" s="7" t="n"/>
      <c r="E12" s="17" t="n"/>
      <c r="F12" s="7" t="n"/>
      <c r="G12" s="18" t="n"/>
      <c r="H12" s="7" t="n"/>
      <c r="I12" s="9" t="n">
        <v>54</v>
      </c>
      <c r="J12" s="19" t="n">
        <v>475000</v>
      </c>
      <c r="K12" s="6" t="inlineStr">
        <is>
          <t>GLADYS MCMULLEN</t>
        </is>
      </c>
      <c r="L12" s="6" t="inlineStr">
        <is>
          <t>689 Crested Butte Street</t>
        </is>
      </c>
      <c r="M12" s="6" t="inlineStr">
        <is>
          <t>Chula Vista</t>
        </is>
      </c>
      <c r="N12" s="6" t="inlineStr">
        <is>
          <t>ABSENTEE</t>
        </is>
      </c>
      <c r="O12" s="6" t="inlineStr">
        <is>
          <t>Full</t>
        </is>
      </c>
      <c r="P12" s="6" t="inlineStr">
        <is>
          <t>Laura Lewis</t>
        </is>
      </c>
      <c r="Q12" s="6" t="inlineStr">
        <is>
          <t>Woodbridge VA</t>
        </is>
      </c>
      <c r="R12" s="6" t="inlineStr">
        <is>
          <t>Benjamin S. Green</t>
        </is>
      </c>
      <c r="S12" s="6" t="inlineStr">
        <is>
          <t>619-425-4020</t>
        </is>
      </c>
      <c r="T12" s="11" t="inlineStr">
        <is>
          <t>29mo old; $350k+ equity; vacant/absentee; out-of-county heir</t>
        </is>
      </c>
    </row>
    <row r="13">
      <c r="A13" s="6" t="inlineStr">
        <is>
          <t>24PE000842C</t>
        </is>
      </c>
      <c r="B13" s="20" t="inlineStr">
        <is>
          <t>OPEN</t>
        </is>
      </c>
      <c r="C13" s="21" t="n">
        <v>46205</v>
      </c>
      <c r="D13" s="22" t="inlineStr">
        <is>
          <t>Review Hearing - failure to perform duties re: final accounting (ROA 26)</t>
        </is>
      </c>
      <c r="E13" s="21" t="n">
        <v>46282</v>
      </c>
      <c r="F13" s="22" t="inlineStr">
        <is>
          <t>No</t>
        </is>
      </c>
      <c r="G13" s="25" t="inlineStr">
        <is>
          <t>YES - hearing set on it</t>
        </is>
      </c>
      <c r="H13" s="24" t="inlineStr">
        <is>
          <t>Self-represented executor who is visibly struggling - two filings rejected by the clerk (1/7/2026 and 1/28/2026) and a standing Failure to Perform Duties review. No attorney of record. Best fit for a help-oriented approach.</t>
        </is>
      </c>
      <c r="I13" s="9" t="n">
        <v>53</v>
      </c>
      <c r="J13" s="19" t="n">
        <v>679000</v>
      </c>
      <c r="K13" s="6" t="inlineStr">
        <is>
          <t>Kenneth Leland Walters AKA Kenneth Leland Waiters Jr.</t>
        </is>
      </c>
      <c r="L13" s="6" t="inlineStr">
        <is>
          <t>9330 Gregory St.</t>
        </is>
      </c>
      <c r="M13" s="6" t="inlineStr">
        <is>
          <t>La Mesa</t>
        </is>
      </c>
      <c r="N13" s="6" t="n"/>
      <c r="O13" s="6" t="inlineStr">
        <is>
          <t>Full</t>
        </is>
      </c>
      <c r="P13" s="6" t="inlineStr">
        <is>
          <t>Cary C. Crane</t>
        </is>
      </c>
      <c r="Q13" s="6" t="inlineStr">
        <is>
          <t>Idaho Springs CO</t>
        </is>
      </c>
      <c r="R13" s="6" t="inlineStr">
        <is>
          <t>Pro Per</t>
        </is>
      </c>
      <c r="S13" s="6" t="n"/>
      <c r="T13" s="11" t="inlineStr">
        <is>
          <t>27mo old; $600k+ equity; self-represented; out-of-county heir</t>
        </is>
      </c>
    </row>
    <row r="14">
      <c r="A14" s="6" t="inlineStr">
        <is>
          <t>24PE000357C</t>
        </is>
      </c>
      <c r="B14" s="26" t="inlineStr">
        <is>
          <t>CLOSED</t>
        </is>
      </c>
      <c r="C14" s="27" t="n">
        <v>46086</v>
      </c>
      <c r="D14" s="28" t="inlineStr">
        <is>
          <t>Ex Parte Petition for Final Discharge and Order (ROA 40)</t>
        </is>
      </c>
      <c r="E14" s="27" t="n"/>
      <c r="F14" s="28" t="inlineStr">
        <is>
          <t>Yes</t>
        </is>
      </c>
      <c r="G14" s="29" t="inlineStr">
        <is>
          <t>No</t>
        </is>
      </c>
      <c r="H14" s="30" t="inlineStr">
        <is>
          <t>CLOSED. Final distribution approved 1/7/2026, final discharge filed 3/5/2026. Remove from pipeline.</t>
        </is>
      </c>
      <c r="I14" s="9" t="n">
        <v>51</v>
      </c>
      <c r="J14" s="19" t="n">
        <v>2500000</v>
      </c>
      <c r="K14" s="6" t="inlineStr">
        <is>
          <t>ESTHER COOPER aka ESTEE COOPER</t>
        </is>
      </c>
      <c r="L14" s="6" t="inlineStr">
        <is>
          <t>7143 Almaden Lane</t>
        </is>
      </c>
      <c r="M14" s="6" t="inlineStr">
        <is>
          <t>Carlsbad</t>
        </is>
      </c>
      <c r="N14" s="6" t="inlineStr">
        <is>
          <t>OWNER OCCUPIED</t>
        </is>
      </c>
      <c r="O14" s="6" t="inlineStr">
        <is>
          <t>Full</t>
        </is>
      </c>
      <c r="P14" s="6" t="inlineStr">
        <is>
          <t>SANDY L. SOLOMON</t>
        </is>
      </c>
      <c r="Q14" s="6" t="inlineStr">
        <is>
          <t>Reading PA</t>
        </is>
      </c>
      <c r="R14" s="6" t="inlineStr">
        <is>
          <t>Stuart N. Chelin</t>
        </is>
      </c>
      <c r="S14" s="6" t="inlineStr">
        <is>
          <t>(310) 556-9664</t>
        </is>
      </c>
      <c r="T14" s="11" t="inlineStr">
        <is>
          <t>28mo old; $1M+ equity; out-of-county heir</t>
        </is>
      </c>
    </row>
    <row r="15">
      <c r="A15" s="6" t="inlineStr">
        <is>
          <t>24PE000332C</t>
        </is>
      </c>
      <c r="B15" s="20" t="inlineStr">
        <is>
          <t>OPEN</t>
        </is>
      </c>
      <c r="C15" s="21" t="n">
        <v>45996</v>
      </c>
      <c r="D15" s="22" t="inlineStr">
        <is>
          <t>Proof of Service (ROA 47)</t>
        </is>
      </c>
      <c r="E15" s="21" t="n"/>
      <c r="F15" s="22" t="inlineStr">
        <is>
          <t>No</t>
        </is>
      </c>
      <c r="G15" s="23" t="inlineStr">
        <is>
          <t>No</t>
        </is>
      </c>
      <c r="H15" s="24" t="inlineStr">
        <is>
          <t>MOST DORMANT of the group - nothing filed since Dec 2025, nearly eight months, and no hearing on calendar. Letters were extended to 10/17/2027, so the administrator is planning a long runway.</t>
        </is>
      </c>
      <c r="I15" s="9" t="n">
        <v>51</v>
      </c>
      <c r="J15" s="19" t="n">
        <v>1827500</v>
      </c>
      <c r="K15" s="6" t="inlineStr">
        <is>
          <t>KATHLEEN ANN TURNER aka KATHY A. TURNER</t>
        </is>
      </c>
      <c r="L15" s="6" t="inlineStr">
        <is>
          <t>9462 Doheny Road</t>
        </is>
      </c>
      <c r="M15" s="6" t="inlineStr">
        <is>
          <t>Santee</t>
        </is>
      </c>
      <c r="N15" s="6" t="inlineStr">
        <is>
          <t>OWNER OCCUPIED</t>
        </is>
      </c>
      <c r="O15" s="6" t="inlineStr">
        <is>
          <t>Full</t>
        </is>
      </c>
      <c r="P15" s="6" t="inlineStr">
        <is>
          <t>EILEEN NUNLEY</t>
        </is>
      </c>
      <c r="Q15" s="6" t="inlineStr">
        <is>
          <t>FALMOUTH ME</t>
        </is>
      </c>
      <c r="R15" s="6" t="inlineStr">
        <is>
          <t>MIRANDA C. FRANKS</t>
        </is>
      </c>
      <c r="S15" s="6" t="inlineStr">
        <is>
          <t>619-660-0520 (*National DNC list)</t>
        </is>
      </c>
      <c r="T15" s="11" t="inlineStr">
        <is>
          <t>28mo old; $1M+ equity; out-of-county heir</t>
        </is>
      </c>
    </row>
    <row r="16">
      <c r="A16" s="6" t="inlineStr">
        <is>
          <t>24PE000351C</t>
        </is>
      </c>
      <c r="B16" s="7" t="n"/>
      <c r="C16" s="17" t="n"/>
      <c r="D16" s="7" t="n"/>
      <c r="E16" s="17" t="n"/>
      <c r="F16" s="7" t="n"/>
      <c r="G16" s="18" t="n"/>
      <c r="H16" s="7" t="n"/>
      <c r="I16" s="9" t="n">
        <v>51</v>
      </c>
      <c r="J16" s="19" t="n">
        <v>1000182</v>
      </c>
      <c r="K16" s="6" t="inlineStr">
        <is>
          <t>Keith L. Wasser</t>
        </is>
      </c>
      <c r="L16" s="6" t="inlineStr">
        <is>
          <t>4649 El Penon Way</t>
        </is>
      </c>
      <c r="M16" s="6" t="inlineStr">
        <is>
          <t>San Diego</t>
        </is>
      </c>
      <c r="N16" s="6" t="inlineStr">
        <is>
          <t>OWNER OCCUPIED</t>
        </is>
      </c>
      <c r="O16" s="6" t="inlineStr">
        <is>
          <t>Full</t>
        </is>
      </c>
      <c r="P16" s="6" t="inlineStr">
        <is>
          <t>Monica Famularo</t>
        </is>
      </c>
      <c r="Q16" s="6" t="inlineStr">
        <is>
          <t>Virginia Beach VA</t>
        </is>
      </c>
      <c r="R16" s="6" t="inlineStr">
        <is>
          <t>Julia A. Solaegui</t>
        </is>
      </c>
      <c r="S16" s="6" t="inlineStr">
        <is>
          <t>(619) 588-2828 (*National DNC list)</t>
        </is>
      </c>
      <c r="T16" s="11" t="inlineStr">
        <is>
          <t>28mo old; $1M+ equity; out-of-county heir</t>
        </is>
      </c>
    </row>
    <row r="17">
      <c r="A17" s="6" t="inlineStr">
        <is>
          <t>24PE001060C</t>
        </is>
      </c>
      <c r="B17" s="20" t="inlineStr">
        <is>
          <t>OPEN</t>
        </is>
      </c>
      <c r="C17" s="21" t="n">
        <v>46061</v>
      </c>
      <c r="D17" s="22" t="inlineStr">
        <is>
          <t>System Generated Notice E-mailed (ROA 28)</t>
        </is>
      </c>
      <c r="E17" s="21" t="n"/>
      <c r="F17" s="22" t="inlineStr">
        <is>
          <t>No</t>
        </is>
      </c>
      <c r="G17" s="23" t="inlineStr">
        <is>
          <t>No</t>
        </is>
      </c>
      <c r="H17" s="24" t="inlineStr">
        <is>
          <t>Quiet since Feb 2026 - roughly five months with no filings and no hearing set. Administrator and counsel are both in St. George, Utah. Letters run to 12/11/2026.</t>
        </is>
      </c>
      <c r="I17" s="9" t="n">
        <v>50</v>
      </c>
      <c r="J17" s="19" t="n">
        <v>485167</v>
      </c>
      <c r="K17" s="6" t="inlineStr">
        <is>
          <t>Jerry Michael Soderlling</t>
        </is>
      </c>
      <c r="L17" s="6" t="inlineStr">
        <is>
          <t>2655 Joann Drive</t>
        </is>
      </c>
      <c r="M17" s="6" t="inlineStr">
        <is>
          <t>Oceanside</t>
        </is>
      </c>
      <c r="N17" s="6" t="inlineStr">
        <is>
          <t>ABSENTEE</t>
        </is>
      </c>
      <c r="O17" s="6" t="inlineStr">
        <is>
          <t>Full</t>
        </is>
      </c>
      <c r="P17" s="6" t="inlineStr">
        <is>
          <t>Joanna Sidney Gomlicker</t>
        </is>
      </c>
      <c r="Q17" s="6" t="inlineStr">
        <is>
          <t>Stuart FL</t>
        </is>
      </c>
      <c r="R17" s="6" t="inlineStr">
        <is>
          <t>E. LAWRENCE BROCK</t>
        </is>
      </c>
      <c r="S17" s="6" t="inlineStr">
        <is>
          <t>435-688-9231 (*National DNC list)</t>
        </is>
      </c>
      <c r="T17" s="11" t="inlineStr">
        <is>
          <t>26mo old; $350k+ equity; vacant/absentee; out-of-county heir</t>
        </is>
      </c>
    </row>
    <row r="18">
      <c r="A18" s="6" t="inlineStr">
        <is>
          <t>24PE000969C</t>
        </is>
      </c>
      <c r="B18" s="7" t="n"/>
      <c r="C18" s="17" t="n"/>
      <c r="D18" s="7" t="n"/>
      <c r="E18" s="17" t="n"/>
      <c r="F18" s="7" t="n"/>
      <c r="G18" s="18" t="n"/>
      <c r="H18" s="7" t="n"/>
      <c r="I18" s="9" t="n">
        <v>50</v>
      </c>
      <c r="J18" s="19" t="n">
        <v>432000</v>
      </c>
      <c r="K18" s="6" t="inlineStr">
        <is>
          <t>ESTA LYN TEMPLE BURKE</t>
        </is>
      </c>
      <c r="L18" s="6" t="inlineStr">
        <is>
          <t>7760 MARGERUM AVE., UNIT 126</t>
        </is>
      </c>
      <c r="M18" s="6" t="inlineStr">
        <is>
          <t>SAN DIEGO</t>
        </is>
      </c>
      <c r="N18" s="6" t="inlineStr">
        <is>
          <t>ABSENTEE</t>
        </is>
      </c>
      <c r="O18" s="6" t="inlineStr">
        <is>
          <t>Full</t>
        </is>
      </c>
      <c r="P18" s="6" t="inlineStr">
        <is>
          <t>ZACHARY STEPHEN LITTEN</t>
        </is>
      </c>
      <c r="Q18" s="6" t="inlineStr">
        <is>
          <t>NORTH CHESTERFIELD VA</t>
        </is>
      </c>
      <c r="R18" s="6" t="inlineStr">
        <is>
          <t>RICH GAINES</t>
        </is>
      </c>
      <c r="S18" s="6" t="inlineStr">
        <is>
          <t>760-931-9923</t>
        </is>
      </c>
      <c r="T18" s="11" t="inlineStr">
        <is>
          <t>27mo old; $350k+ equity; vacant/absentee; out-of-county heir</t>
        </is>
      </c>
    </row>
    <row r="19">
      <c r="A19" s="6" t="inlineStr">
        <is>
          <t>24PE001744C</t>
        </is>
      </c>
      <c r="B19" s="20" t="inlineStr">
        <is>
          <t>OPEN</t>
        </is>
      </c>
      <c r="C19" s="21" t="n">
        <v>46203</v>
      </c>
      <c r="D19" s="22" t="inlineStr">
        <is>
          <t>Notice of Hearing (ROA 43)</t>
        </is>
      </c>
      <c r="E19" s="21" t="n">
        <v>46413</v>
      </c>
      <c r="F19" s="22" t="inlineStr">
        <is>
          <t>No</t>
        </is>
      </c>
      <c r="G19" s="23" t="inlineStr">
        <is>
          <t>No</t>
        </is>
      </c>
      <c r="H19" s="24" t="inlineStr">
        <is>
          <t>WINDING DOWN. Report and Accounting plus Petition for Final Distribution filed 6/29/2026. This estate is on its way out - lowest priority of the open cases.</t>
        </is>
      </c>
      <c r="I19" s="9" t="n">
        <v>50</v>
      </c>
      <c r="J19" s="19" t="n">
        <v>155848</v>
      </c>
      <c r="K19" s="6" t="inlineStr">
        <is>
          <t>Jason Hideo Burke, aka Jason Burke, aka Jason H. Burke</t>
        </is>
      </c>
      <c r="L19" s="6" t="inlineStr">
        <is>
          <t>2108 3rd Ave, Unit 1</t>
        </is>
      </c>
      <c r="M19" s="6" t="inlineStr">
        <is>
          <t>San Diego</t>
        </is>
      </c>
      <c r="N19" s="6" t="inlineStr">
        <is>
          <t>ABSENTEE</t>
        </is>
      </c>
      <c r="O19" s="6" t="inlineStr">
        <is>
          <t>Limited</t>
        </is>
      </c>
      <c r="P19" s="6" t="inlineStr">
        <is>
          <t>Connor Burke</t>
        </is>
      </c>
      <c r="Q19" s="6" t="inlineStr">
        <is>
          <t>Brick NJ</t>
        </is>
      </c>
      <c r="R19" s="6" t="inlineStr">
        <is>
          <t>Weily Yang</t>
        </is>
      </c>
      <c r="S19" s="6" t="inlineStr">
        <is>
          <t>714-573-7149</t>
        </is>
      </c>
      <c r="T19" s="11" t="inlineStr">
        <is>
          <t>24mo old; $150k+ equity; vacant/absentee; limited authority (court confirmation); out-of-county heir</t>
        </is>
      </c>
    </row>
    <row r="20">
      <c r="A20" s="6" t="inlineStr">
        <is>
          <t>24PE001484C</t>
        </is>
      </c>
      <c r="B20" s="7" t="n"/>
      <c r="C20" s="17" t="n"/>
      <c r="D20" s="7" t="n"/>
      <c r="E20" s="17" t="n"/>
      <c r="F20" s="7" t="n"/>
      <c r="G20" s="18" t="n"/>
      <c r="H20" s="7" t="n"/>
      <c r="I20" s="9" t="n">
        <v>48</v>
      </c>
      <c r="J20" s="19" t="n">
        <v>390000</v>
      </c>
      <c r="K20" s="6" t="inlineStr">
        <is>
          <t>Betty Simmons</t>
        </is>
      </c>
      <c r="L20" s="6" t="inlineStr">
        <is>
          <t>1968 Canyas Drive,Unit 6</t>
        </is>
      </c>
      <c r="M20" s="6" t="inlineStr">
        <is>
          <t>Chula Vista</t>
        </is>
      </c>
      <c r="N20" s="6" t="inlineStr">
        <is>
          <t>ABSENTEE</t>
        </is>
      </c>
      <c r="O20" s="6" t="inlineStr">
        <is>
          <t>Full</t>
        </is>
      </c>
      <c r="P20" s="6" t="inlineStr">
        <is>
          <t>ALEC B. SIMMONS, Jr.</t>
        </is>
      </c>
      <c r="Q20" s="6" t="inlineStr">
        <is>
          <t>Tempe AZ</t>
        </is>
      </c>
      <c r="R20" s="6" t="inlineStr">
        <is>
          <t>ELAINE M. BALOK</t>
        </is>
      </c>
      <c r="S20" s="6" t="inlineStr">
        <is>
          <t>619-337-6700</t>
        </is>
      </c>
      <c r="T20" s="11" t="inlineStr">
        <is>
          <t>25mo old; $350k+ equity; vacant/absentee; out-of-county heir</t>
        </is>
      </c>
    </row>
    <row r="21">
      <c r="A21" s="6" t="inlineStr">
        <is>
          <t>24PE001502C</t>
        </is>
      </c>
      <c r="B21" s="7" t="n"/>
      <c r="C21" s="17" t="n"/>
      <c r="D21" s="7" t="n"/>
      <c r="E21" s="17" t="n"/>
      <c r="F21" s="7" t="n"/>
      <c r="G21" s="18" t="n"/>
      <c r="H21" s="7" t="n"/>
      <c r="I21" s="9" t="n">
        <v>47</v>
      </c>
      <c r="J21" s="19" t="n">
        <v>15459147</v>
      </c>
      <c r="K21" s="6" t="inlineStr">
        <is>
          <t>ROSS STANFORD GILBERT</t>
        </is>
      </c>
      <c r="L21" s="6" t="inlineStr">
        <is>
          <t>101 Border Avenue</t>
        </is>
      </c>
      <c r="M21" s="6" t="inlineStr">
        <is>
          <t>Del Mar</t>
        </is>
      </c>
      <c r="N21" s="6" t="inlineStr">
        <is>
          <t>ABSENTEE</t>
        </is>
      </c>
      <c r="O21" s="6" t="inlineStr">
        <is>
          <t>Full</t>
        </is>
      </c>
      <c r="P21" s="6" t="inlineStr">
        <is>
          <t>Mary-K. Gilbert, also known as Mary Katherine Gilb</t>
        </is>
      </c>
      <c r="Q21" s="6" t="inlineStr">
        <is>
          <t>Del Mar CA</t>
        </is>
      </c>
      <c r="R21" s="6" t="inlineStr">
        <is>
          <t>Philip M. Savage, IV and David D. Werner</t>
        </is>
      </c>
      <c r="S21" s="6" t="inlineStr">
        <is>
          <t>909-890-4499</t>
        </is>
      </c>
      <c r="T21" s="11" t="inlineStr">
        <is>
          <t>25mo old; $1M+ equity; vacant/absentee</t>
        </is>
      </c>
    </row>
    <row r="22">
      <c r="A22" s="6" t="inlineStr">
        <is>
          <t>24PE001572C</t>
        </is>
      </c>
      <c r="B22" s="20" t="inlineStr">
        <is>
          <t>OPEN</t>
        </is>
      </c>
      <c r="C22" s="21" t="n">
        <v>46181</v>
      </c>
      <c r="D22" s="22" t="inlineStr">
        <is>
          <t>Declaration - Withdrawal of Wells Fargo creditor claim (ROA 37)</t>
        </is>
      </c>
      <c r="E22" s="21" t="n">
        <v>46440</v>
      </c>
      <c r="F22" s="22" t="inlineStr">
        <is>
          <t>No</t>
        </is>
      </c>
      <c r="G22" s="25" t="inlineStr">
        <is>
          <t>YES - hearing set on it</t>
        </is>
      </c>
      <c r="H22" s="24" t="inlineStr">
        <is>
          <t>Court has set a Failure to Perform Duties review. Corrected Final Inventory and Appraisal filed 4/30/2026, so valuation work is done but distribution is not. Wells Fargo withdrew its creditor claim.</t>
        </is>
      </c>
      <c r="I22" s="9" t="n">
        <v>47</v>
      </c>
      <c r="J22" s="19" t="n">
        <v>1641172</v>
      </c>
      <c r="K22" s="6" t="inlineStr">
        <is>
          <t>GEORGE WALTHER-MEADE</t>
        </is>
      </c>
      <c r="L22" s="6" t="inlineStr">
        <is>
          <t>419 Milagrosa Circle</t>
        </is>
      </c>
      <c r="M22" s="6" t="inlineStr">
        <is>
          <t>Chula Vista</t>
        </is>
      </c>
      <c r="N22" s="6" t="inlineStr">
        <is>
          <t>ABSENTEE</t>
        </is>
      </c>
      <c r="O22" s="6" t="inlineStr">
        <is>
          <t>Full</t>
        </is>
      </c>
      <c r="P22" s="6" t="inlineStr">
        <is>
          <t>George M. Walther-Meade</t>
        </is>
      </c>
      <c r="Q22" s="6" t="inlineStr">
        <is>
          <t>Chula Vista CA</t>
        </is>
      </c>
      <c r="R22" s="6" t="inlineStr">
        <is>
          <t>John W. Melvin</t>
        </is>
      </c>
      <c r="S22" s="6" t="n"/>
      <c r="T22" s="11" t="inlineStr">
        <is>
          <t>25mo old; $1M+ equity; vacant/absentee</t>
        </is>
      </c>
    </row>
    <row r="23">
      <c r="A23" s="6" t="inlineStr">
        <is>
          <t>24PE000986C</t>
        </is>
      </c>
      <c r="B23" s="7" t="n"/>
      <c r="C23" s="17" t="n"/>
      <c r="D23" s="7" t="n"/>
      <c r="E23" s="17" t="n"/>
      <c r="F23" s="7" t="n"/>
      <c r="G23" s="18" t="n"/>
      <c r="H23" s="7" t="n"/>
      <c r="I23" s="9" t="n">
        <v>47</v>
      </c>
      <c r="J23" s="19" t="n">
        <v>1294988</v>
      </c>
      <c r="K23" s="6" t="inlineStr">
        <is>
          <t>Thomas B. Galligan</t>
        </is>
      </c>
      <c r="L23" s="6" t="inlineStr">
        <is>
          <t>2163 Calle Frescot</t>
        </is>
      </c>
      <c r="M23" s="6" t="inlineStr">
        <is>
          <t>La Jolla</t>
        </is>
      </c>
      <c r="N23" s="6" t="inlineStr">
        <is>
          <t>OWNER OCCUPIED</t>
        </is>
      </c>
      <c r="O23" s="6" t="inlineStr">
        <is>
          <t>Full</t>
        </is>
      </c>
      <c r="P23" s="6" t="inlineStr">
        <is>
          <t>Patricia M. Galligan</t>
        </is>
      </c>
      <c r="Q23" s="6" t="inlineStr">
        <is>
          <t>La Jolla CA</t>
        </is>
      </c>
      <c r="R23" s="6" t="inlineStr">
        <is>
          <t>Pro Per</t>
        </is>
      </c>
      <c r="S23" s="6" t="inlineStr">
        <is>
          <t>858-643-5700 (*National DNC list)</t>
        </is>
      </c>
      <c r="T23" s="11" t="inlineStr">
        <is>
          <t>26mo old; $1M+ equity; self-represented</t>
        </is>
      </c>
    </row>
    <row r="24">
      <c r="A24" s="6" t="inlineStr">
        <is>
          <t>24PE000954C</t>
        </is>
      </c>
      <c r="B24" s="20" t="inlineStr">
        <is>
          <t>OPEN</t>
        </is>
      </c>
      <c r="C24" s="21" t="n">
        <v>46197</v>
      </c>
      <c r="D24" s="22" t="inlineStr">
        <is>
          <t>Letters Extended/Reissued to 4/30/2027 (ROA 101)</t>
        </is>
      </c>
      <c r="E24" s="21" t="n"/>
      <c r="F24" s="22" t="inlineStr">
        <is>
          <t>No</t>
        </is>
      </c>
      <c r="G24" s="23" t="inlineStr">
        <is>
          <t>No</t>
        </is>
      </c>
      <c r="H24" s="24" t="inlineStr">
        <is>
          <t>CONTESTED among family - three competing petitioners (Laurvick, Frederic Nevins, Patricia Nevins) with separate counsel. American Express is a claimant. Letters extended all the way to Apr 2027, which signals the court expects this to run long.</t>
        </is>
      </c>
      <c r="I24" s="9" t="n">
        <v>47</v>
      </c>
      <c r="J24" s="19" t="n">
        <v>1262000</v>
      </c>
      <c r="K24" s="6" t="inlineStr">
        <is>
          <t>Jeffrey Benjamin Nevins</t>
        </is>
      </c>
      <c r="L24" s="6" t="inlineStr">
        <is>
          <t>4316 Haines Street</t>
        </is>
      </c>
      <c r="M24" s="6" t="inlineStr">
        <is>
          <t>San Diego</t>
        </is>
      </c>
      <c r="N24" s="6" t="inlineStr">
        <is>
          <t>OWNER OCCUPIED</t>
        </is>
      </c>
      <c r="O24" s="6" t="inlineStr">
        <is>
          <t>Full</t>
        </is>
      </c>
      <c r="P24" s="6" t="inlineStr">
        <is>
          <t>Frederic Nevins</t>
        </is>
      </c>
      <c r="Q24" s="6" t="inlineStr">
        <is>
          <t>Port Washington NY</t>
        </is>
      </c>
      <c r="R24" s="6" t="inlineStr">
        <is>
          <t>James F. Watts</t>
        </is>
      </c>
      <c r="S24" s="6" t="inlineStr">
        <is>
          <t>858-481-2880 (*National DNC list)</t>
        </is>
      </c>
      <c r="T24" s="11" t="inlineStr">
        <is>
          <t>27mo old; $1M+ equity; out-of-county heir</t>
        </is>
      </c>
    </row>
    <row r="25">
      <c r="A25" s="6" t="inlineStr">
        <is>
          <t>24PE001085C</t>
        </is>
      </c>
      <c r="B25" s="7" t="n"/>
      <c r="C25" s="17" t="n"/>
      <c r="D25" s="7" t="n"/>
      <c r="E25" s="17" t="n"/>
      <c r="F25" s="7" t="n"/>
      <c r="G25" s="18" t="n"/>
      <c r="H25" s="7" t="n"/>
      <c r="I25" s="9" t="n">
        <v>47</v>
      </c>
      <c r="J25" s="19" t="n">
        <v>1150000</v>
      </c>
      <c r="K25" s="6" t="inlineStr">
        <is>
          <t>Henry Hingwhee Lin aka Henry Hing-Whee Lin aka Henry Hing Whee Lin</t>
        </is>
      </c>
      <c r="L25" s="6" t="inlineStr">
        <is>
          <t>12719 Robison Boulevard #9</t>
        </is>
      </c>
      <c r="M25" s="6" t="inlineStr">
        <is>
          <t>Poway</t>
        </is>
      </c>
      <c r="N25" s="6" t="n"/>
      <c r="O25" s="6" t="inlineStr">
        <is>
          <t>Full</t>
        </is>
      </c>
      <c r="P25" s="6" t="inlineStr">
        <is>
          <t>Yihwen Lin</t>
        </is>
      </c>
      <c r="Q25" s="6" t="inlineStr">
        <is>
          <t>Covina CA</t>
        </is>
      </c>
      <c r="R25" s="6" t="inlineStr">
        <is>
          <t>Daniel K. Printz and Deborah Chew</t>
        </is>
      </c>
      <c r="S25" s="6" t="inlineStr">
        <is>
          <t>858-519-8020</t>
        </is>
      </c>
      <c r="T25" s="11" t="inlineStr">
        <is>
          <t>26mo old; $1M+ equity; out-of-county heir</t>
        </is>
      </c>
    </row>
    <row r="26">
      <c r="A26" s="6" t="inlineStr">
        <is>
          <t>24PE001042C</t>
        </is>
      </c>
      <c r="B26" s="7" t="n"/>
      <c r="C26" s="17" t="n"/>
      <c r="D26" s="7" t="n"/>
      <c r="E26" s="17" t="n"/>
      <c r="F26" s="7" t="n"/>
      <c r="G26" s="18" t="n"/>
      <c r="H26" s="7" t="n"/>
      <c r="I26" s="9" t="n">
        <v>47</v>
      </c>
      <c r="J26" s="19" t="n">
        <v>1000000</v>
      </c>
      <c r="K26" s="6" t="inlineStr">
        <is>
          <t>Melchor Balaguer</t>
        </is>
      </c>
      <c r="L26" s="6" t="inlineStr">
        <is>
          <t>230 W. Laurel Street  #503</t>
        </is>
      </c>
      <c r="M26" s="6" t="inlineStr">
        <is>
          <t>San Diego</t>
        </is>
      </c>
      <c r="N26" s="6" t="inlineStr">
        <is>
          <t>OWNER OCCUPIED</t>
        </is>
      </c>
      <c r="O26" s="6" t="inlineStr">
        <is>
          <t>Full</t>
        </is>
      </c>
      <c r="P26" s="6" t="inlineStr">
        <is>
          <t>Ellen Marie Balaguer</t>
        </is>
      </c>
      <c r="Q26" s="6" t="inlineStr">
        <is>
          <t>Greenwood Village CO</t>
        </is>
      </c>
      <c r="R26" s="6" t="inlineStr">
        <is>
          <t>Kristan Shepard and Tamie Humphreys</t>
        </is>
      </c>
      <c r="S26" s="6" t="n"/>
      <c r="T26" s="11" t="inlineStr">
        <is>
          <t>26mo old; $1M+ equity; out-of-county heir</t>
        </is>
      </c>
    </row>
    <row r="27">
      <c r="A27" s="6" t="inlineStr">
        <is>
          <t>24PE001528C</t>
        </is>
      </c>
      <c r="B27" s="7" t="n"/>
      <c r="C27" s="17" t="n"/>
      <c r="D27" s="7" t="n"/>
      <c r="E27" s="17" t="n"/>
      <c r="F27" s="7" t="n"/>
      <c r="G27" s="18" t="n"/>
      <c r="H27" s="7" t="n"/>
      <c r="I27" s="9" t="n">
        <v>47</v>
      </c>
      <c r="J27" s="19" t="n">
        <v>454430</v>
      </c>
      <c r="K27" s="6" t="inlineStr">
        <is>
          <t>JOHN VINCENT KAISER JR AKA JOHN V. KAISER JR.</t>
        </is>
      </c>
      <c r="L27" s="6" t="inlineStr">
        <is>
          <t>1077 Glenhill Road</t>
        </is>
      </c>
      <c r="M27" s="6" t="inlineStr">
        <is>
          <t>El Cajon</t>
        </is>
      </c>
      <c r="N27" s="6" t="inlineStr">
        <is>
          <t>ABSENTEE</t>
        </is>
      </c>
      <c r="O27" s="6" t="inlineStr">
        <is>
          <t>Full</t>
        </is>
      </c>
      <c r="P27" s="6" t="inlineStr">
        <is>
          <t>John D. Kaiser</t>
        </is>
      </c>
      <c r="Q27" s="6" t="inlineStr">
        <is>
          <t>Murrieta CA</t>
        </is>
      </c>
      <c r="R27" s="6" t="inlineStr">
        <is>
          <t>Joseph J. Park</t>
        </is>
      </c>
      <c r="S27" s="6" t="inlineStr">
        <is>
          <t>858-356-9070</t>
        </is>
      </c>
      <c r="T27" s="11" t="inlineStr">
        <is>
          <t>25mo old; $350k+ equity; vacant/absentee; out-of-county heir</t>
        </is>
      </c>
    </row>
    <row r="28">
      <c r="A28" s="6" t="inlineStr">
        <is>
          <t>24PE000983C</t>
        </is>
      </c>
      <c r="B28" s="7" t="n"/>
      <c r="C28" s="17" t="n"/>
      <c r="D28" s="7" t="n"/>
      <c r="E28" s="17" t="n"/>
      <c r="F28" s="7" t="n"/>
      <c r="G28" s="18" t="n"/>
      <c r="H28" s="7" t="n"/>
      <c r="I28" s="9" t="n">
        <v>47</v>
      </c>
      <c r="J28" s="19" t="n">
        <v>450000</v>
      </c>
      <c r="K28" s="6" t="inlineStr">
        <is>
          <t>Albert Hanamey, aka Albert L. Hanamey</t>
        </is>
      </c>
      <c r="L28" s="6" t="inlineStr">
        <is>
          <t>745 Pidgeon St.</t>
        </is>
      </c>
      <c r="M28" s="6" t="inlineStr">
        <is>
          <t>San Diego</t>
        </is>
      </c>
      <c r="N28" s="6" t="n"/>
      <c r="O28" s="6" t="inlineStr">
        <is>
          <t>Full</t>
        </is>
      </c>
      <c r="P28" s="6" t="inlineStr">
        <is>
          <t>Steven Albert-Hanamey Ferguson</t>
        </is>
      </c>
      <c r="Q28" s="6" t="inlineStr">
        <is>
          <t>Seattle WA</t>
        </is>
      </c>
      <c r="R28" s="6" t="inlineStr">
        <is>
          <t>Pro Per</t>
        </is>
      </c>
      <c r="S28" s="6" t="inlineStr">
        <is>
          <t>206-591-1650</t>
        </is>
      </c>
      <c r="T28" s="11" t="inlineStr">
        <is>
          <t>27mo old; $350k+ equity; self-represented; out-of-county heir</t>
        </is>
      </c>
    </row>
    <row r="29">
      <c r="A29" s="6" t="inlineStr">
        <is>
          <t>24PE000854C</t>
        </is>
      </c>
      <c r="B29" s="7" t="n"/>
      <c r="C29" s="17" t="n"/>
      <c r="D29" s="7" t="n"/>
      <c r="E29" s="17" t="n"/>
      <c r="F29" s="7" t="n"/>
      <c r="G29" s="18" t="n"/>
      <c r="H29" s="7" t="n"/>
      <c r="I29" s="9" t="n">
        <v>47</v>
      </c>
      <c r="J29" s="19" t="n">
        <v>380000</v>
      </c>
      <c r="K29" s="6" t="inlineStr">
        <is>
          <t>Kenny Russell Johnson</t>
        </is>
      </c>
      <c r="L29" s="6" t="inlineStr">
        <is>
          <t>2560 Street #20</t>
        </is>
      </c>
      <c r="M29" s="6" t="inlineStr">
        <is>
          <t>San Diego</t>
        </is>
      </c>
      <c r="N29" s="6" t="n"/>
      <c r="O29" s="6" t="inlineStr">
        <is>
          <t>Full</t>
        </is>
      </c>
      <c r="P29" s="6" t="inlineStr">
        <is>
          <t>Keith I. Johnson</t>
        </is>
      </c>
      <c r="Q29" s="6" t="inlineStr">
        <is>
          <t>Fillmore CA</t>
        </is>
      </c>
      <c r="R29" s="6" t="inlineStr">
        <is>
          <t>Pro Per</t>
        </is>
      </c>
      <c r="S29" s="6" t="inlineStr">
        <is>
          <t>626-483-5192 (*National DNC list)</t>
        </is>
      </c>
      <c r="T29" s="11" t="inlineStr">
        <is>
          <t>27mo old; $350k+ equity; self-represented; out-of-county heir</t>
        </is>
      </c>
    </row>
  </sheetData>
  <autoFilter ref="A1:T29"/>
  <dataValidations count="2">
    <dataValidation sqref="B2:B29" showDropDown="0" showInputMessage="0" showErrorMessage="0" allowBlank="1" type="list">
      <formula1>"OPEN,CLOSED,DORMANT,NOT FOUND"</formula1>
    </dataValidation>
    <dataValidation sqref="F2:F29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8" customWidth="1" min="2" max="2"/>
  </cols>
  <sheetData>
    <row r="1">
      <c r="A1" s="1" t="inlineStr">
        <is>
          <t>Results</t>
        </is>
      </c>
    </row>
    <row r="2">
      <c r="A2" s="2" t="inlineStr">
        <is>
          <t>11 of 28 A-tier cases verified against the court docket.</t>
        </is>
      </c>
    </row>
    <row r="3">
      <c r="A3" s="2" t="n"/>
    </row>
    <row r="4">
      <c r="A4" s="3" t="inlineStr">
        <is>
          <t>Checked</t>
        </is>
      </c>
      <c r="B4" s="3">
        <f>COUNTA(Verify!B2:B29)</f>
        <v/>
      </c>
    </row>
    <row r="5">
      <c r="A5" s="3" t="inlineStr">
        <is>
          <t>Open</t>
        </is>
      </c>
      <c r="B5" s="3">
        <f>COUNTIF(Verify!B2:B29,"OPEN")</f>
        <v/>
      </c>
    </row>
    <row r="6">
      <c r="A6" s="3" t="inlineStr">
        <is>
          <t>Closed</t>
        </is>
      </c>
      <c r="B6" s="3">
        <f>COUNTIF(Verify!B2:B29,"CLOSED")</f>
        <v/>
      </c>
    </row>
    <row r="7">
      <c r="A7" s="3" t="inlineStr">
        <is>
          <t>Not yet checked</t>
        </is>
      </c>
      <c r="B7" s="3">
        <f>28-B4</f>
        <v/>
      </c>
    </row>
    <row r="8">
      <c r="A8" s="3" t="n"/>
      <c r="B8" s="3" t="n"/>
    </row>
    <row r="9">
      <c r="A9" s="12" t="inlineStr">
        <is>
          <t>Open rate</t>
        </is>
      </c>
      <c r="B9" s="13">
        <f>IF(B4=0,"",B5/B4)</f>
        <v/>
      </c>
    </row>
    <row r="10">
      <c r="A10" s="3" t="inlineStr">
        <is>
          <t>Court-flagged delinquent</t>
        </is>
      </c>
      <c r="B10" s="16">
        <f>COUNTIF(Verify!G2:G29,"YES*")</f>
        <v/>
      </c>
    </row>
    <row r="11">
      <c r="A11" s="3" t="inlineStr">
        <is>
          <t>Equity in open cases</t>
        </is>
      </c>
      <c r="B11" s="31">
        <f>SUMIF(Verify!B2:B29,"OPEN",Verify!J2:J29)</f>
        <v/>
      </c>
    </row>
    <row r="12"/>
    <row r="13">
      <c r="A13" s="12" t="inlineStr">
        <is>
          <t>Projected across all 423 aged cases</t>
        </is>
      </c>
    </row>
    <row r="14">
      <c r="A14" s="12" t="inlineStr">
        <is>
          <t>Est. still open</t>
        </is>
      </c>
      <c r="B14" s="12">
        <f>IF(B4=0,"",ROUND(B9*423,0))</f>
        <v/>
      </c>
    </row>
    <row r="15">
      <c r="A15" s="3" t="n"/>
      <c r="B15" s="3" t="n"/>
    </row>
    <row r="16">
      <c r="A16" s="3" t="n"/>
      <c r="B16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2026-07-26T02:39:30Z</dcterms:created>
  <dcterms:modified xsi:type="dcterms:W3CDTF">2026-07-26T03:54:43Z</dcterms:modified>
</cp:coreProperties>
</file>